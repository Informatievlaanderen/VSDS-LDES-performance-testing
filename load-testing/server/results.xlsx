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rver 3.3.0" sheetId="1" state="visible" r:id="rId2"/>
    <sheet name="Server 3.4.0" sheetId="2" state="visible" r:id="rId3"/>
    <sheet name="Server 3.4.0 (Mac M2)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<sst xmlns="http://schemas.openxmlformats.org/spreadsheetml/2006/main" count="318" uniqueCount="30">
  <si>
    <t xml:space="preserve">Sequential Ingest Speed Test</t>
  </si>
  <si>
    <t xml:space="preserve">Min</t>
  </si>
  <si>
    <t xml:space="preserve">Max</t>
  </si>
  <si>
    <t xml:space="preserve">Average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</si>
  <si>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</si>
  <si>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</si>
  <si>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</si>
  <si>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</si>
  <si>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</si>
  <si>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</si>
  <si>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</si>
  <si>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1 pipeline</t>
  </si>
  <si>
    <t xml:space="preserve">2 pipelines</t>
  </si>
  <si>
    <t xml:space="preserve">4 pipelines</t>
  </si>
  <si>
    <t xml:space="preserve">Sequential Fragment Speed Test</t>
  </si>
  <si>
    <t xml:space="preserve">1 view</t>
  </si>
  <si>
    <t xml:space="preserve">2 views</t>
  </si>
  <si>
    <t xml:space="preserve">4 views</t>
  </si>
  <si>
    <t xml:space="preserve">Parallel Ingest Speed Test</t>
  </si>
  <si>
    <t xml:space="preserve">Fetch Speed Test</t>
  </si>
  <si>
    <t xml:space="preserve">10 mpp</t>
  </si>
  <si>
    <t xml:space="preserve">100 mpp</t>
  </si>
  <si>
    <t xml:space="preserve">250 mpp</t>
  </si>
  <si>
    <t xml:space="preserve">500 mpp</t>
  </si>
  <si>
    <t xml:space="preserve">1000 mpp</t>
  </si>
  <si>
    <t xml:space="preserve">2500 mpp</t>
  </si>
  <si>
    <t xml:space="preserve">5000 mpp</t>
  </si>
  <si>
    <t xml:space="preserve">10000 mpp</t>
  </si>
  <si>
    <t xml:space="preserve">Slower than sequential</t>
  </si>
  <si>
    <t xml:space="preserve">Slower than 100 mpp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</si>
</sst>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15625" defaultRowHeight="12.75" zeroHeight="false" outlineLevelRow="0" outlineLevelCol="0"/>
  <cols>
    <col collapsed="false" customWidth="true" hidden="false" outlineLevel="0" max="1" min="1" style="0" width="18"/>
  </cols>
  <sheetData>
    <row r="1" customFormat="false" ht="12.75" hidden="false" customHeight="false" outlineLevel="0" collapsed="false">
      <c r="A1" s="1" t="s">
        <v>0</v>
      </c>
      <c r="B1" s="1"/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customFormat="false" ht="12.75" hidden="false" customHeight="false" outlineLevel="0" collapsed="false">
      <c r="A2" s="0" t="s">
        <v>11</v>
      </c>
      <c r="C2" s="1" t="n">
        <f aca="false">MIN(F2:L2)</f>
        <v>700</v>
      </c>
      <c r="D2" s="1" t="n">
        <f aca="false">MAX(F2:L2)</f>
        <v>757</v>
      </c>
      <c r="E2" s="4" t="n">
        <f aca="false">AVERAGE(F2:L2)</f>
        <v>733.142857142857</v>
      </c>
      <c r="F2" s="0" t="n">
        <v>700</v>
      </c>
      <c r="G2" s="0" t="n">
        <v>744</v>
      </c>
      <c r="H2" s="0" t="n">
        <v>746</v>
      </c>
      <c r="I2" s="0" t="n">
        <v>757</v>
      </c>
      <c r="J2" s="0" t="n">
        <v>741</v>
      </c>
      <c r="K2" s="0" t="n">
        <v>740</v>
      </c>
      <c r="L2" s="0" t="n">
        <v>704</v>
      </c>
    </row>
    <row r="3" customFormat="false" ht="12.75" hidden="false" customHeight="false" outlineLevel="0" collapsed="false">
      <c r="A3" s="0" t="s">
        <v>12</v>
      </c>
      <c r="C3" s="1" t="n">
        <f aca="false">MIN(F3:L3)</f>
        <v>1222</v>
      </c>
      <c r="D3" s="1" t="n">
        <f aca="false">MAX(F3:L3)</f>
        <v>1329</v>
      </c>
      <c r="E3" s="4" t="n">
        <f aca="false">AVERAGE(F3:L3)</f>
        <v>1281.14285714286</v>
      </c>
      <c r="F3" s="0" t="n">
        <v>1234</v>
      </c>
      <c r="G3" s="0" t="n">
        <v>1222</v>
      </c>
      <c r="H3" s="0" t="n">
        <v>1293</v>
      </c>
      <c r="I3" s="0" t="n">
        <v>1319</v>
      </c>
      <c r="J3" s="0" t="n">
        <v>1278</v>
      </c>
      <c r="K3" s="0" t="n">
        <v>1329</v>
      </c>
      <c r="L3" s="0" t="n">
        <v>1293</v>
      </c>
    </row>
    <row r="4" customFormat="false" ht="12.75" hidden="false" customHeight="false" outlineLevel="0" collapsed="false">
      <c r="A4" s="0" t="s">
        <v>13</v>
      </c>
      <c r="C4" s="1" t="n">
        <f aca="false">MIN(F4:L4)</f>
        <v>1636</v>
      </c>
      <c r="D4" s="1" t="n">
        <f aca="false">MAX(F4:L4)</f>
        <v>1745</v>
      </c>
      <c r="E4" s="4" t="n">
        <f aca="false">AVERAGE(F4:L4)</f>
        <v>1700.71428571429</v>
      </c>
      <c r="F4" s="0" t="n">
        <v>1712</v>
      </c>
      <c r="G4" s="0" t="n">
        <v>1745</v>
      </c>
      <c r="H4" s="0" t="n">
        <v>1739</v>
      </c>
      <c r="I4" s="0" t="n">
        <v>1636</v>
      </c>
      <c r="J4" s="0" t="n">
        <v>1675</v>
      </c>
      <c r="K4" s="0" t="n">
        <v>1729</v>
      </c>
      <c r="L4" s="0" t="n">
        <v>1669</v>
      </c>
    </row>
    <row r="6" customFormat="false" ht="12.75" hidden="false" customHeight="false" outlineLevel="0" collapsed="false">
      <c r="A6" s="1" t="s">
        <v>14</v>
      </c>
      <c r="B6" s="1"/>
      <c r="C6" s="2" t="s">
        <v>1</v>
      </c>
      <c r="D6" s="2" t="s">
        <v>2</v>
      </c>
      <c r="E6" s="2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customFormat="false" ht="12.75" hidden="false" customHeight="false" outlineLevel="0" collapsed="false">
      <c r="A7" s="0" t="s">
        <v>15</v>
      </c>
      <c r="C7" s="1" t="n">
        <f aca="false">MIN(F7:L7)</f>
        <v>943</v>
      </c>
      <c r="D7" s="1" t="n">
        <f aca="false">MAX(F7:L7)</f>
        <v>970</v>
      </c>
      <c r="E7" s="4" t="n">
        <f aca="false">AVERAGE(F7:L7)</f>
        <v>956.5</v>
      </c>
      <c r="F7" s="0" t="n">
        <v>970</v>
      </c>
      <c r="G7" s="0" t="n">
        <v>970</v>
      </c>
      <c r="H7" s="0" t="n">
        <v>943</v>
      </c>
      <c r="I7" s="0" t="n">
        <v>943</v>
      </c>
    </row>
    <row r="8" customFormat="false" ht="12.75" hidden="false" customHeight="false" outlineLevel="0" collapsed="false">
      <c r="A8" s="0" t="s">
        <v>16</v>
      </c>
      <c r="C8" s="1" t="n">
        <f aca="false">MIN(F8:L8)</f>
        <v>602</v>
      </c>
      <c r="D8" s="1" t="n">
        <f aca="false">MAX(F8:L8)</f>
        <v>996</v>
      </c>
      <c r="E8" s="4" t="n">
        <f aca="false">AVERAGE(F8:L8)</f>
        <v>740.25</v>
      </c>
      <c r="F8" s="0" t="n">
        <v>612</v>
      </c>
      <c r="G8" s="0" t="n">
        <v>602</v>
      </c>
      <c r="H8" s="0" t="n">
        <v>996</v>
      </c>
      <c r="I8" s="0" t="n">
        <v>751</v>
      </c>
    </row>
    <row r="9" customFormat="false" ht="12.75" hidden="false" customHeight="false" outlineLevel="0" collapsed="false">
      <c r="A9" s="0" t="s">
        <v>17</v>
      </c>
      <c r="C9" s="1" t="n">
        <f aca="false">MIN(F9:L9)</f>
        <v>331</v>
      </c>
      <c r="D9" s="1" t="n">
        <f aca="false">MAX(F9:L9)</f>
        <v>646</v>
      </c>
      <c r="E9" s="4" t="n">
        <f aca="false">AVERAGE(F9:L9)</f>
        <v>502.25</v>
      </c>
      <c r="F9" s="0" t="n">
        <v>559</v>
      </c>
      <c r="G9" s="0" t="n">
        <v>473</v>
      </c>
      <c r="H9" s="0" t="n">
        <v>331</v>
      </c>
      <c r="I9" s="0" t="n">
        <v>646</v>
      </c>
    </row>
    <row r="11" customFormat="false" ht="12.75" hidden="false" customHeight="false" outlineLevel="0" collapsed="false">
      <c r="A11" s="1" t="s">
        <v>18</v>
      </c>
      <c r="B11" s="1"/>
      <c r="C11" s="2" t="s">
        <v>1</v>
      </c>
      <c r="D11" s="2" t="s">
        <v>2</v>
      </c>
      <c r="E11" s="2" t="s">
        <v>3</v>
      </c>
      <c r="F11" s="3" t="s">
        <v>4</v>
      </c>
      <c r="G11" s="3" t="s">
        <v>5</v>
      </c>
      <c r="H11" s="3" t="s">
        <v>6</v>
      </c>
      <c r="I11" s="3" t="s">
        <v>7</v>
      </c>
      <c r="J11" s="3" t="s">
        <v>8</v>
      </c>
      <c r="K11" s="3" t="s">
        <v>9</v>
      </c>
      <c r="L11" s="3" t="s">
        <v>10</v>
      </c>
    </row>
    <row r="12" customFormat="false" ht="12.75" hidden="false" customHeight="false" outlineLevel="0" collapsed="false">
      <c r="A12" s="0" t="s">
        <v>11</v>
      </c>
      <c r="B12" s="0" t="s">
        <v>15</v>
      </c>
      <c r="C12" s="1" t="n">
        <f aca="false">MIN(F12:L12)</f>
        <v>0</v>
      </c>
      <c r="D12" s="1" t="n">
        <f aca="false">MAX(F12:L12)</f>
        <v>0</v>
      </c>
      <c r="E12" s="4" t="e">
        <f aca="false">AVERAGE(F12:L12)</f>
        <v>#DIV/0!</v>
      </c>
    </row>
    <row r="13" customFormat="false" ht="12.75" hidden="false" customHeight="false" outlineLevel="0" collapsed="false">
      <c r="A13" s="0" t="s">
        <v>12</v>
      </c>
      <c r="B13" s="0" t="s">
        <v>15</v>
      </c>
      <c r="C13" s="1" t="n">
        <f aca="false">MIN(F13:L13)</f>
        <v>0</v>
      </c>
      <c r="D13" s="1" t="n">
        <f aca="false">MAX(F13:L13)</f>
        <v>0</v>
      </c>
      <c r="E13" s="4" t="e">
        <f aca="false">AVERAGE(F13:L13)</f>
        <v>#DIV/0!</v>
      </c>
    </row>
    <row r="14" customFormat="false" ht="12.75" hidden="false" customHeight="false" outlineLevel="0" collapsed="false">
      <c r="A14" s="0" t="s">
        <v>13</v>
      </c>
      <c r="B14" s="0" t="s">
        <v>15</v>
      </c>
      <c r="C14" s="1" t="n">
        <f aca="false">MIN(F14:L14)</f>
        <v>0</v>
      </c>
      <c r="D14" s="1" t="n">
        <f aca="false">MAX(F14:L14)</f>
        <v>0</v>
      </c>
      <c r="E14" s="4" t="e">
        <f aca="false">AVERAGE(F14:L14)</f>
        <v>#DIV/0!</v>
      </c>
    </row>
    <row r="15" customFormat="false" ht="12.75" hidden="false" customHeight="false" outlineLevel="0" collapsed="false">
      <c r="A15" s="0" t="s">
        <v>11</v>
      </c>
      <c r="B15" s="0" t="s">
        <v>16</v>
      </c>
      <c r="C15" s="1" t="n">
        <f aca="false">MIN(F15:L15)</f>
        <v>0</v>
      </c>
      <c r="D15" s="1" t="n">
        <f aca="false">MAX(F15:L15)</f>
        <v>0</v>
      </c>
      <c r="E15" s="4" t="e">
        <f aca="false">AVERAGE(F15:L15)</f>
        <v>#DIV/0!</v>
      </c>
    </row>
    <row r="16" customFormat="false" ht="12.75" hidden="false" customHeight="false" outlineLevel="0" collapsed="false">
      <c r="A16" s="0" t="s">
        <v>12</v>
      </c>
      <c r="B16" s="0" t="s">
        <v>16</v>
      </c>
      <c r="C16" s="1" t="n">
        <f aca="false">MIN(F16:L16)</f>
        <v>0</v>
      </c>
      <c r="D16" s="1" t="n">
        <f aca="false">MAX(F16:L16)</f>
        <v>0</v>
      </c>
      <c r="E16" s="4" t="e">
        <f aca="false">AVERAGE(F16:L16)</f>
        <v>#DIV/0!</v>
      </c>
    </row>
    <row r="17" customFormat="false" ht="12.75" hidden="false" customHeight="false" outlineLevel="0" collapsed="false">
      <c r="A17" s="0" t="s">
        <v>13</v>
      </c>
      <c r="B17" s="0" t="s">
        <v>16</v>
      </c>
      <c r="C17" s="1" t="n">
        <f aca="false">MIN(F17:L17)</f>
        <v>0</v>
      </c>
      <c r="D17" s="1" t="n">
        <f aca="false">MAX(F17:L17)</f>
        <v>0</v>
      </c>
      <c r="E17" s="4" t="e">
        <f aca="false">AVERAGE(F17:L17)</f>
        <v>#DIV/0!</v>
      </c>
    </row>
    <row r="18" customFormat="false" ht="12.75" hidden="false" customHeight="false" outlineLevel="0" collapsed="false">
      <c r="A18" s="0" t="s">
        <v>11</v>
      </c>
      <c r="B18" s="0" t="s">
        <v>17</v>
      </c>
      <c r="C18" s="1" t="n">
        <f aca="false">MIN(F18:L18)</f>
        <v>0</v>
      </c>
      <c r="D18" s="1" t="n">
        <f aca="false">MAX(F18:L18)</f>
        <v>0</v>
      </c>
      <c r="E18" s="4" t="e">
        <f aca="false">AVERAGE(F18:L18)</f>
        <v>#DIV/0!</v>
      </c>
    </row>
    <row r="19" customFormat="false" ht="12.75" hidden="false" customHeight="false" outlineLevel="0" collapsed="false">
      <c r="A19" s="0" t="s">
        <v>12</v>
      </c>
      <c r="B19" s="0" t="s">
        <v>17</v>
      </c>
      <c r="C19" s="1" t="n">
        <f aca="false">MIN(F19:L19)</f>
        <v>0</v>
      </c>
      <c r="D19" s="1" t="n">
        <f aca="false">MAX(F19:L19)</f>
        <v>0</v>
      </c>
      <c r="E19" s="4" t="e">
        <f aca="false">AVERAGE(F19:L19)</f>
        <v>#DIV/0!</v>
      </c>
    </row>
    <row r="20" customFormat="false" ht="12.75" hidden="false" customHeight="false" outlineLevel="0" collapsed="false">
      <c r="A20" s="0" t="s">
        <v>13</v>
      </c>
      <c r="B20" s="0" t="s">
        <v>17</v>
      </c>
      <c r="C20" s="1" t="n">
        <f aca="false">MIN(F20:L20)</f>
        <v>0</v>
      </c>
      <c r="D20" s="1" t="n">
        <f aca="false">MAX(F20:L20)</f>
        <v>0</v>
      </c>
      <c r="E20" s="4" t="e">
        <f aca="false">AVERAGE(F20:L20)</f>
        <v>#DIV/0!</v>
      </c>
    </row>
    <row r="22" customFormat="false" ht="12.75" hidden="false" customHeight="false" outlineLevel="0" collapsed="false">
      <c r="A22" s="1" t="s">
        <v>18</v>
      </c>
      <c r="B22" s="1"/>
      <c r="C22" s="2" t="s">
        <v>1</v>
      </c>
      <c r="D22" s="2" t="s">
        <v>2</v>
      </c>
      <c r="E22" s="2" t="s">
        <v>3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</row>
    <row r="23" customFormat="false" ht="12.75" hidden="false" customHeight="false" outlineLevel="0" collapsed="false">
      <c r="A23" s="0" t="s">
        <v>15</v>
      </c>
      <c r="B23" s="0" t="s">
        <v>11</v>
      </c>
      <c r="C23" s="1" t="n">
        <f aca="false">MIN(F23:L23)</f>
        <v>0</v>
      </c>
      <c r="D23" s="1" t="n">
        <f aca="false">MAX(F23:L23)</f>
        <v>0</v>
      </c>
      <c r="E23" s="4" t="e">
        <f aca="false">AVERAGE(F23:L23)</f>
        <v>#DIV/0!</v>
      </c>
    </row>
    <row r="24" customFormat="false" ht="12.75" hidden="false" customHeight="false" outlineLevel="0" collapsed="false">
      <c r="A24" s="0" t="s">
        <v>16</v>
      </c>
      <c r="B24" s="0" t="s">
        <v>11</v>
      </c>
      <c r="C24" s="1" t="n">
        <f aca="false">MIN(F24:L24)</f>
        <v>0</v>
      </c>
      <c r="D24" s="1" t="n">
        <f aca="false">MAX(F24:L24)</f>
        <v>0</v>
      </c>
      <c r="E24" s="4" t="e">
        <f aca="false">AVERAGE(F24:L24)</f>
        <v>#DIV/0!</v>
      </c>
    </row>
    <row r="25" customFormat="false" ht="12.75" hidden="false" customHeight="false" outlineLevel="0" collapsed="false">
      <c r="A25" s="0" t="s">
        <v>17</v>
      </c>
      <c r="B25" s="0" t="s">
        <v>11</v>
      </c>
      <c r="C25" s="1" t="n">
        <f aca="false">MIN(F25:L25)</f>
        <v>0</v>
      </c>
      <c r="D25" s="1" t="n">
        <f aca="false">MAX(F25:L25)</f>
        <v>0</v>
      </c>
      <c r="E25" s="4" t="e">
        <f aca="false">AVERAGE(F25:L25)</f>
        <v>#DIV/0!</v>
      </c>
    </row>
    <row r="26" customFormat="false" ht="12.75" hidden="false" customHeight="false" outlineLevel="0" collapsed="false">
      <c r="A26" s="0" t="s">
        <v>15</v>
      </c>
      <c r="B26" s="0" t="s">
        <v>12</v>
      </c>
      <c r="C26" s="1" t="n">
        <f aca="false">MIN(F26:L26)</f>
        <v>0</v>
      </c>
      <c r="D26" s="1" t="n">
        <f aca="false">MAX(F26:L26)</f>
        <v>0</v>
      </c>
      <c r="E26" s="4" t="e">
        <f aca="false">AVERAGE(F26:L26)</f>
        <v>#DIV/0!</v>
      </c>
    </row>
    <row r="27" customFormat="false" ht="12.75" hidden="false" customHeight="false" outlineLevel="0" collapsed="false">
      <c r="A27" s="0" t="s">
        <v>16</v>
      </c>
      <c r="B27" s="0" t="s">
        <v>12</v>
      </c>
      <c r="C27" s="1" t="n">
        <f aca="false">MIN(F27:L27)</f>
        <v>0</v>
      </c>
      <c r="D27" s="1" t="n">
        <f aca="false">MAX(F27:L27)</f>
        <v>0</v>
      </c>
      <c r="E27" s="4" t="e">
        <f aca="false">AVERAGE(F27:L27)</f>
        <v>#DIV/0!</v>
      </c>
    </row>
    <row r="28" customFormat="false" ht="12.75" hidden="false" customHeight="false" outlineLevel="0" collapsed="false">
      <c r="A28" s="0" t="s">
        <v>17</v>
      </c>
      <c r="B28" s="0" t="s">
        <v>12</v>
      </c>
      <c r="C28" s="1" t="n">
        <f aca="false">MIN(F28:L28)</f>
        <v>0</v>
      </c>
      <c r="D28" s="1" t="n">
        <f aca="false">MAX(F28:L28)</f>
        <v>0</v>
      </c>
      <c r="E28" s="4" t="e">
        <f aca="false">AVERAGE(F28:L28)</f>
        <v>#DIV/0!</v>
      </c>
    </row>
    <row r="29" customFormat="false" ht="12.75" hidden="false" customHeight="false" outlineLevel="0" collapsed="false">
      <c r="A29" s="0" t="s">
        <v>15</v>
      </c>
      <c r="B29" s="0" t="s">
        <v>13</v>
      </c>
      <c r="C29" s="1" t="n">
        <f aca="false">MIN(F29:L29)</f>
        <v>0</v>
      </c>
      <c r="D29" s="1" t="n">
        <f aca="false">MAX(F29:L29)</f>
        <v>0</v>
      </c>
      <c r="E29" s="4" t="e">
        <f aca="false">AVERAGE(F29:L29)</f>
        <v>#DIV/0!</v>
      </c>
    </row>
    <row r="30" customFormat="false" ht="12.75" hidden="false" customHeight="false" outlineLevel="0" collapsed="false">
      <c r="A30" s="0" t="s">
        <v>16</v>
      </c>
      <c r="B30" s="0" t="s">
        <v>13</v>
      </c>
      <c r="C30" s="1" t="n">
        <f aca="false">MIN(F30:L30)</f>
        <v>0</v>
      </c>
      <c r="D30" s="1" t="n">
        <f aca="false">MAX(F30:L30)</f>
        <v>0</v>
      </c>
      <c r="E30" s="4" t="e">
        <f aca="false">AVERAGE(F30:L30)</f>
        <v>#DIV/0!</v>
      </c>
    </row>
    <row r="31" customFormat="false" ht="12.75" hidden="false" customHeight="false" outlineLevel="0" collapsed="false">
      <c r="A31" s="0" t="s">
        <v>17</v>
      </c>
      <c r="B31" s="0" t="s">
        <v>13</v>
      </c>
      <c r="C31" s="1" t="n">
        <f aca="false">MIN(F31:L31)</f>
        <v>0</v>
      </c>
      <c r="D31" s="1" t="n">
        <f aca="false">MAX(F31:L31)</f>
        <v>0</v>
      </c>
      <c r="E31" s="4" t="e">
        <f aca="false">AVERAGE(F31:L31)</f>
        <v>#DIV/0!</v>
      </c>
    </row>
    <row r="33" customFormat="false" ht="12.75" hidden="false" customHeight="false" outlineLevel="0" collapsed="false">
      <c r="A33" s="1" t="s">
        <v>19</v>
      </c>
      <c r="C33" s="2" t="s">
        <v>1</v>
      </c>
      <c r="D33" s="2" t="s">
        <v>2</v>
      </c>
      <c r="E33" s="2" t="s">
        <v>3</v>
      </c>
      <c r="F33" s="3" t="s">
        <v>4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9</v>
      </c>
      <c r="L33" s="3" t="s">
        <v>10</v>
      </c>
    </row>
    <row r="34" customFormat="false" ht="12.75" hidden="false" customHeight="false" outlineLevel="0" collapsed="false">
      <c r="A34" s="0" t="s">
        <v>20</v>
      </c>
      <c r="C34" s="1" t="n">
        <f aca="false">MIN(F34:L34)</f>
        <v>0</v>
      </c>
      <c r="D34" s="1" t="n">
        <f aca="false">MAX(F34:L34)</f>
        <v>0</v>
      </c>
      <c r="E34" s="4" t="e">
        <f aca="false">AVERAGE(F34:L34)</f>
        <v>#DIV/0!</v>
      </c>
    </row>
    <row r="35" customFormat="false" ht="12.75" hidden="false" customHeight="false" outlineLevel="0" collapsed="false">
      <c r="A35" s="0" t="s">
        <v>21</v>
      </c>
      <c r="C35" s="1" t="n">
        <f aca="false">MIN(F35:L35)</f>
        <v>0</v>
      </c>
      <c r="D35" s="1" t="n">
        <f aca="false">MAX(F35:L35)</f>
        <v>0</v>
      </c>
      <c r="E35" s="4" t="e">
        <f aca="false">AVERAGE(F35:L35)</f>
        <v>#DIV/0!</v>
      </c>
    </row>
    <row r="36" customFormat="false" ht="12.75" hidden="false" customHeight="false" outlineLevel="0" collapsed="false">
      <c r="A36" s="0" t="s">
        <v>22</v>
      </c>
      <c r="C36" s="1" t="n">
        <f aca="false">MIN(F36:L36)</f>
        <v>0</v>
      </c>
      <c r="D36" s="1" t="n">
        <f aca="false">MAX(F36:L36)</f>
        <v>0</v>
      </c>
      <c r="E36" s="4" t="e">
        <f aca="false">AVERAGE(F36:L36)</f>
        <v>#DIV/0!</v>
      </c>
    </row>
    <row r="37" customFormat="false" ht="12.75" hidden="false" customHeight="false" outlineLevel="0" collapsed="false">
      <c r="A37" s="0" t="s">
        <v>23</v>
      </c>
      <c r="C37" s="1" t="n">
        <f aca="false">MIN(F37:L37)</f>
        <v>0</v>
      </c>
      <c r="D37" s="1" t="n">
        <f aca="false">MAX(F37:L37)</f>
        <v>0</v>
      </c>
      <c r="E37" s="4" t="e">
        <f aca="false">AVERAGE(F37:L37)</f>
        <v>#DIV/0!</v>
      </c>
    </row>
    <row r="38" customFormat="false" ht="12.75" hidden="false" customHeight="false" outlineLevel="0" collapsed="false">
      <c r="A38" s="0" t="s">
        <v>24</v>
      </c>
      <c r="C38" s="1" t="n">
        <f aca="false">MIN(F38:L38)</f>
        <v>0</v>
      </c>
      <c r="D38" s="1" t="n">
        <f aca="false">MAX(F38:L38)</f>
        <v>0</v>
      </c>
      <c r="E38" s="4" t="e">
        <f aca="false">AVERAGE(F38:L38)</f>
        <v>#DIV/0!</v>
      </c>
    </row>
    <row r="39" customFormat="false" ht="12.75" hidden="false" customHeight="false" outlineLevel="0" collapsed="false">
      <c r="A39" s="0" t="s">
        <v>25</v>
      </c>
      <c r="C39" s="1" t="n">
        <f aca="false">MIN(F39:L39)</f>
        <v>0</v>
      </c>
      <c r="D39" s="1" t="n">
        <f aca="false">MAX(F39:L39)</f>
        <v>0</v>
      </c>
      <c r="E39" s="4" t="e">
        <f aca="false">AVERAGE(F39:L39)</f>
        <v>#DIV/0!</v>
      </c>
    </row>
    <row r="40" customFormat="false" ht="12.75" hidden="false" customHeight="false" outlineLevel="0" collapsed="false">
      <c r="A40" s="0" t="s">
        <v>26</v>
      </c>
      <c r="C40" s="1" t="n">
        <f aca="false">MIN(F40:L40)</f>
        <v>0</v>
      </c>
      <c r="D40" s="1" t="n">
        <f aca="false">MAX(F40:L40)</f>
        <v>0</v>
      </c>
      <c r="E40" s="4" t="e">
        <f aca="false">AVERAGE(F40:L40)</f>
        <v>#DIV/0!</v>
      </c>
    </row>
    <row r="41" customFormat="false" ht="12.75" hidden="false" customHeight="false" outlineLevel="0" collapsed="false">
      <c r="A41" s="0" t="s">
        <v>27</v>
      </c>
      <c r="C41" s="1" t="n">
        <f aca="false">MIN(F41:L41)</f>
        <v>0</v>
      </c>
      <c r="D41" s="1" t="n">
        <f aca="false">MAX(F41:L41)</f>
        <v>0</v>
      </c>
      <c r="E41" s="4" t="e">
        <f aca="false">AVERAGE(F41:L41)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15625" defaultRowHeight="12.75" zeroHeight="false" outlineLevelRow="0" outlineLevelCol="0"/>
  <cols>
    <col collapsed="false" customWidth="true" hidden="false" outlineLevel="0" max="1" min="1" style="0" width="18"/>
  </cols>
  <sheetData>
    <row r="1" customFormat="false" ht="12.75" hidden="false" customHeight="false" outlineLevel="0" collapsed="false">
      <c r="A1" s="1" t="s">
        <v>0</v>
      </c>
      <c r="B1" s="1"/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customFormat="false" ht="12.75" hidden="false" customHeight="false" outlineLevel="0" collapsed="false">
      <c r="A2" s="0" t="s">
        <v>11</v>
      </c>
      <c r="C2" s="1" t="n">
        <f aca="false">MIN(F2:L2)</f>
        <v>0</v>
      </c>
      <c r="D2" s="1" t="n">
        <f aca="false">MAX(F2:L2)</f>
        <v>0</v>
      </c>
      <c r="E2" s="4" t="e">
        <f aca="false">AVERAGE(F2:L2)</f>
        <v>#DIV/0!</v>
      </c>
    </row>
    <row r="3" customFormat="false" ht="12.75" hidden="false" customHeight="false" outlineLevel="0" collapsed="false">
      <c r="A3" s="0" t="s">
        <v>12</v>
      </c>
      <c r="C3" s="1" t="n">
        <f aca="false">MIN(F3:L3)</f>
        <v>0</v>
      </c>
      <c r="D3" s="1" t="n">
        <f aca="false">MAX(F3:L3)</f>
        <v>0</v>
      </c>
      <c r="E3" s="4" t="e">
        <f aca="false">AVERAGE(F3:L3)</f>
        <v>#DIV/0!</v>
      </c>
    </row>
    <row r="4" customFormat="false" ht="12.75" hidden="false" customHeight="false" outlineLevel="0" collapsed="false">
      <c r="A4" s="0" t="s">
        <v>13</v>
      </c>
      <c r="C4" s="1" t="n">
        <f aca="false">MIN(F4:L4)</f>
        <v>0</v>
      </c>
      <c r="D4" s="1" t="n">
        <f aca="false">MAX(F4:L4)</f>
        <v>0</v>
      </c>
      <c r="E4" s="4" t="e">
        <f aca="false">AVERAGE(F4:L4)</f>
        <v>#DIV/0!</v>
      </c>
    </row>
    <row r="6" customFormat="false" ht="12.75" hidden="false" customHeight="false" outlineLevel="0" collapsed="false">
      <c r="A6" s="1" t="s">
        <v>14</v>
      </c>
      <c r="B6" s="1"/>
      <c r="C6" s="2" t="s">
        <v>1</v>
      </c>
      <c r="D6" s="2" t="s">
        <v>2</v>
      </c>
      <c r="E6" s="2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customFormat="false" ht="12.75" hidden="false" customHeight="false" outlineLevel="0" collapsed="false">
      <c r="A7" s="0" t="s">
        <v>15</v>
      </c>
      <c r="C7" s="1" t="n">
        <f aca="false">MIN(F7:L7)</f>
        <v>0</v>
      </c>
      <c r="D7" s="1" t="n">
        <f aca="false">MAX(F7:L7)</f>
        <v>0</v>
      </c>
      <c r="E7" s="4" t="e">
        <f aca="false">AVERAGE(F7:L7)</f>
        <v>#DIV/0!</v>
      </c>
    </row>
    <row r="8" customFormat="false" ht="12.75" hidden="false" customHeight="false" outlineLevel="0" collapsed="false">
      <c r="A8" s="0" t="s">
        <v>16</v>
      </c>
      <c r="C8" s="1" t="n">
        <f aca="false">MIN(F8:L8)</f>
        <v>0</v>
      </c>
      <c r="D8" s="1" t="n">
        <f aca="false">MAX(F8:L8)</f>
        <v>0</v>
      </c>
      <c r="E8" s="4" t="e">
        <f aca="false">AVERAGE(F8:L8)</f>
        <v>#DIV/0!</v>
      </c>
    </row>
    <row r="9" customFormat="false" ht="12.75" hidden="false" customHeight="false" outlineLevel="0" collapsed="false">
      <c r="A9" s="0" t="s">
        <v>17</v>
      </c>
      <c r="C9" s="1" t="n">
        <f aca="false">MIN(F9:L9)</f>
        <v>0</v>
      </c>
      <c r="D9" s="1" t="n">
        <f aca="false">MAX(F9:L9)</f>
        <v>0</v>
      </c>
      <c r="E9" s="4" t="e">
        <f aca="false">AVERAGE(F9:L9)</f>
        <v>#DIV/0!</v>
      </c>
    </row>
    <row r="11" customFormat="false" ht="12.75" hidden="false" customHeight="false" outlineLevel="0" collapsed="false">
      <c r="A11" s="1" t="s">
        <v>18</v>
      </c>
      <c r="B11" s="1"/>
      <c r="C11" s="2" t="s">
        <v>1</v>
      </c>
      <c r="D11" s="2" t="s">
        <v>2</v>
      </c>
      <c r="E11" s="2" t="s">
        <v>3</v>
      </c>
      <c r="F11" s="3" t="s">
        <v>4</v>
      </c>
      <c r="G11" s="3" t="s">
        <v>5</v>
      </c>
      <c r="H11" s="3" t="s">
        <v>6</v>
      </c>
      <c r="I11" s="3" t="s">
        <v>7</v>
      </c>
      <c r="J11" s="3" t="s">
        <v>8</v>
      </c>
      <c r="K11" s="3" t="s">
        <v>9</v>
      </c>
      <c r="L11" s="3" t="s">
        <v>10</v>
      </c>
    </row>
    <row r="12" customFormat="false" ht="12.75" hidden="false" customHeight="false" outlineLevel="0" collapsed="false">
      <c r="A12" s="0" t="s">
        <v>11</v>
      </c>
      <c r="B12" s="0" t="s">
        <v>15</v>
      </c>
      <c r="C12" s="1" t="n">
        <f aca="false">MIN(F12:L12)</f>
        <v>0</v>
      </c>
      <c r="D12" s="1" t="n">
        <f aca="false">MAX(F12:L12)</f>
        <v>0</v>
      </c>
      <c r="E12" s="4" t="e">
        <f aca="false">AVERAGE(F12:L12)</f>
        <v>#DIV/0!</v>
      </c>
    </row>
    <row r="13" customFormat="false" ht="12.75" hidden="false" customHeight="false" outlineLevel="0" collapsed="false">
      <c r="A13" s="0" t="s">
        <v>12</v>
      </c>
      <c r="B13" s="0" t="s">
        <v>15</v>
      </c>
      <c r="C13" s="1" t="n">
        <f aca="false">MIN(F13:L13)</f>
        <v>0</v>
      </c>
      <c r="D13" s="1" t="n">
        <f aca="false">MAX(F13:L13)</f>
        <v>0</v>
      </c>
      <c r="E13" s="4" t="e">
        <f aca="false">AVERAGE(F13:L13)</f>
        <v>#DIV/0!</v>
      </c>
    </row>
    <row r="14" customFormat="false" ht="12.75" hidden="false" customHeight="false" outlineLevel="0" collapsed="false">
      <c r="A14" s="0" t="s">
        <v>13</v>
      </c>
      <c r="B14" s="0" t="s">
        <v>15</v>
      </c>
      <c r="C14" s="1" t="n">
        <f aca="false">MIN(F14:L14)</f>
        <v>0</v>
      </c>
      <c r="D14" s="1" t="n">
        <f aca="false">MAX(F14:L14)</f>
        <v>0</v>
      </c>
      <c r="E14" s="4" t="e">
        <f aca="false">AVERAGE(F14:L14)</f>
        <v>#DIV/0!</v>
      </c>
    </row>
    <row r="15" customFormat="false" ht="12.75" hidden="false" customHeight="false" outlineLevel="0" collapsed="false">
      <c r="A15" s="0" t="s">
        <v>11</v>
      </c>
      <c r="B15" s="0" t="s">
        <v>16</v>
      </c>
      <c r="C15" s="1" t="n">
        <f aca="false">MIN(F15:L15)</f>
        <v>0</v>
      </c>
      <c r="D15" s="1" t="n">
        <f aca="false">MAX(F15:L15)</f>
        <v>0</v>
      </c>
      <c r="E15" s="4" t="e">
        <f aca="false">AVERAGE(F15:L15)</f>
        <v>#DIV/0!</v>
      </c>
    </row>
    <row r="16" customFormat="false" ht="12.75" hidden="false" customHeight="false" outlineLevel="0" collapsed="false">
      <c r="A16" s="0" t="s">
        <v>12</v>
      </c>
      <c r="B16" s="0" t="s">
        <v>16</v>
      </c>
      <c r="C16" s="1" t="n">
        <f aca="false">MIN(F16:L16)</f>
        <v>0</v>
      </c>
      <c r="D16" s="1" t="n">
        <f aca="false">MAX(F16:L16)</f>
        <v>0</v>
      </c>
      <c r="E16" s="4" t="e">
        <f aca="false">AVERAGE(F16:L16)</f>
        <v>#DIV/0!</v>
      </c>
    </row>
    <row r="17" customFormat="false" ht="12.75" hidden="false" customHeight="false" outlineLevel="0" collapsed="false">
      <c r="A17" s="0" t="s">
        <v>13</v>
      </c>
      <c r="B17" s="0" t="s">
        <v>16</v>
      </c>
      <c r="C17" s="1" t="n">
        <f aca="false">MIN(F17:L17)</f>
        <v>0</v>
      </c>
      <c r="D17" s="1" t="n">
        <f aca="false">MAX(F17:L17)</f>
        <v>0</v>
      </c>
      <c r="E17" s="4" t="e">
        <f aca="false">AVERAGE(F17:L17)</f>
        <v>#DIV/0!</v>
      </c>
    </row>
    <row r="18" customFormat="false" ht="12.75" hidden="false" customHeight="false" outlineLevel="0" collapsed="false">
      <c r="A18" s="0" t="s">
        <v>11</v>
      </c>
      <c r="B18" s="0" t="s">
        <v>17</v>
      </c>
      <c r="C18" s="1" t="n">
        <f aca="false">MIN(F18:L18)</f>
        <v>0</v>
      </c>
      <c r="D18" s="1" t="n">
        <f aca="false">MAX(F18:L18)</f>
        <v>0</v>
      </c>
      <c r="E18" s="4" t="e">
        <f aca="false">AVERAGE(F18:L18)</f>
        <v>#DIV/0!</v>
      </c>
    </row>
    <row r="19" customFormat="false" ht="12.75" hidden="false" customHeight="false" outlineLevel="0" collapsed="false">
      <c r="A19" s="0" t="s">
        <v>12</v>
      </c>
      <c r="B19" s="0" t="s">
        <v>17</v>
      </c>
      <c r="C19" s="1" t="n">
        <f aca="false">MIN(F19:L19)</f>
        <v>0</v>
      </c>
      <c r="D19" s="1" t="n">
        <f aca="false">MAX(F19:L19)</f>
        <v>0</v>
      </c>
      <c r="E19" s="4" t="e">
        <f aca="false">AVERAGE(F19:L19)</f>
        <v>#DIV/0!</v>
      </c>
    </row>
    <row r="20" customFormat="false" ht="12.75" hidden="false" customHeight="false" outlineLevel="0" collapsed="false">
      <c r="A20" s="0" t="s">
        <v>13</v>
      </c>
      <c r="B20" s="0" t="s">
        <v>17</v>
      </c>
      <c r="C20" s="1" t="n">
        <f aca="false">MIN(F20:L20)</f>
        <v>0</v>
      </c>
      <c r="D20" s="1" t="n">
        <f aca="false">MAX(F20:L20)</f>
        <v>0</v>
      </c>
      <c r="E20" s="4" t="e">
        <f aca="false">AVERAGE(F20:L20)</f>
        <v>#DIV/0!</v>
      </c>
    </row>
    <row r="22" customFormat="false" ht="12.75" hidden="false" customHeight="false" outlineLevel="0" collapsed="false">
      <c r="A22" s="1" t="s">
        <v>18</v>
      </c>
      <c r="B22" s="1"/>
      <c r="C22" s="2" t="s">
        <v>1</v>
      </c>
      <c r="D22" s="2" t="s">
        <v>2</v>
      </c>
      <c r="E22" s="2" t="s">
        <v>3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</row>
    <row r="23" customFormat="false" ht="12.75" hidden="false" customHeight="false" outlineLevel="0" collapsed="false">
      <c r="A23" s="0" t="s">
        <v>15</v>
      </c>
      <c r="B23" s="0" t="s">
        <v>11</v>
      </c>
      <c r="C23" s="1" t="n">
        <f aca="false">MIN(F23:L23)</f>
        <v>0</v>
      </c>
      <c r="D23" s="1" t="n">
        <f aca="false">MAX(F23:L23)</f>
        <v>0</v>
      </c>
      <c r="E23" s="4" t="e">
        <f aca="false">AVERAGE(F23:L23)</f>
        <v>#DIV/0!</v>
      </c>
    </row>
    <row r="24" customFormat="false" ht="12.75" hidden="false" customHeight="false" outlineLevel="0" collapsed="false">
      <c r="A24" s="0" t="s">
        <v>16</v>
      </c>
      <c r="B24" s="0" t="s">
        <v>11</v>
      </c>
      <c r="C24" s="1" t="n">
        <f aca="false">MIN(F24:L24)</f>
        <v>0</v>
      </c>
      <c r="D24" s="1" t="n">
        <f aca="false">MAX(F24:L24)</f>
        <v>0</v>
      </c>
      <c r="E24" s="4" t="e">
        <f aca="false">AVERAGE(F24:L24)</f>
        <v>#DIV/0!</v>
      </c>
    </row>
    <row r="25" customFormat="false" ht="12.75" hidden="false" customHeight="false" outlineLevel="0" collapsed="false">
      <c r="A25" s="0" t="s">
        <v>17</v>
      </c>
      <c r="B25" s="0" t="s">
        <v>11</v>
      </c>
      <c r="C25" s="1" t="n">
        <f aca="false">MIN(F25:L25)</f>
        <v>0</v>
      </c>
      <c r="D25" s="1" t="n">
        <f aca="false">MAX(F25:L25)</f>
        <v>0</v>
      </c>
      <c r="E25" s="4" t="e">
        <f aca="false">AVERAGE(F25:L25)</f>
        <v>#DIV/0!</v>
      </c>
    </row>
    <row r="26" customFormat="false" ht="12.75" hidden="false" customHeight="false" outlineLevel="0" collapsed="false">
      <c r="A26" s="0" t="s">
        <v>15</v>
      </c>
      <c r="B26" s="0" t="s">
        <v>12</v>
      </c>
      <c r="C26" s="1" t="n">
        <f aca="false">MIN(F26:L26)</f>
        <v>0</v>
      </c>
      <c r="D26" s="1" t="n">
        <f aca="false">MAX(F26:L26)</f>
        <v>0</v>
      </c>
      <c r="E26" s="4" t="e">
        <f aca="false">AVERAGE(F26:L26)</f>
        <v>#DIV/0!</v>
      </c>
    </row>
    <row r="27" customFormat="false" ht="12.75" hidden="false" customHeight="false" outlineLevel="0" collapsed="false">
      <c r="A27" s="0" t="s">
        <v>16</v>
      </c>
      <c r="B27" s="0" t="s">
        <v>12</v>
      </c>
      <c r="C27" s="1" t="n">
        <f aca="false">MIN(F27:L27)</f>
        <v>0</v>
      </c>
      <c r="D27" s="1" t="n">
        <f aca="false">MAX(F27:L27)</f>
        <v>0</v>
      </c>
      <c r="E27" s="4" t="e">
        <f aca="false">AVERAGE(F27:L27)</f>
        <v>#DIV/0!</v>
      </c>
    </row>
    <row r="28" customFormat="false" ht="12.75" hidden="false" customHeight="false" outlineLevel="0" collapsed="false">
      <c r="A28" s="0" t="s">
        <v>17</v>
      </c>
      <c r="B28" s="0" t="s">
        <v>12</v>
      </c>
      <c r="C28" s="1" t="n">
        <f aca="false">MIN(F28:L28)</f>
        <v>0</v>
      </c>
      <c r="D28" s="1" t="n">
        <f aca="false">MAX(F28:L28)</f>
        <v>0</v>
      </c>
      <c r="E28" s="4" t="e">
        <f aca="false">AVERAGE(F28:L28)</f>
        <v>#DIV/0!</v>
      </c>
    </row>
    <row r="29" customFormat="false" ht="12.75" hidden="false" customHeight="false" outlineLevel="0" collapsed="false">
      <c r="A29" s="0" t="s">
        <v>15</v>
      </c>
      <c r="B29" s="0" t="s">
        <v>13</v>
      </c>
      <c r="C29" s="1" t="n">
        <f aca="false">MIN(F29:L29)</f>
        <v>0</v>
      </c>
      <c r="D29" s="1" t="n">
        <f aca="false">MAX(F29:L29)</f>
        <v>0</v>
      </c>
      <c r="E29" s="4" t="e">
        <f aca="false">AVERAGE(F29:L29)</f>
        <v>#DIV/0!</v>
      </c>
    </row>
    <row r="30" customFormat="false" ht="12.75" hidden="false" customHeight="false" outlineLevel="0" collapsed="false">
      <c r="A30" s="0" t="s">
        <v>16</v>
      </c>
      <c r="B30" s="0" t="s">
        <v>13</v>
      </c>
      <c r="C30" s="1" t="n">
        <f aca="false">MIN(F30:L30)</f>
        <v>0</v>
      </c>
      <c r="D30" s="1" t="n">
        <f aca="false">MAX(F30:L30)</f>
        <v>0</v>
      </c>
      <c r="E30" s="4" t="e">
        <f aca="false">AVERAGE(F30:L30)</f>
        <v>#DIV/0!</v>
      </c>
    </row>
    <row r="31" customFormat="false" ht="12.75" hidden="false" customHeight="false" outlineLevel="0" collapsed="false">
      <c r="A31" s="0" t="s">
        <v>17</v>
      </c>
      <c r="B31" s="0" t="s">
        <v>13</v>
      </c>
      <c r="C31" s="1" t="n">
        <f aca="false">MIN(F31:L31)</f>
        <v>0</v>
      </c>
      <c r="D31" s="1" t="n">
        <f aca="false">MAX(F31:L31)</f>
        <v>0</v>
      </c>
      <c r="E31" s="4" t="e">
        <f aca="false">AVERAGE(F31:L31)</f>
        <v>#DIV/0!</v>
      </c>
    </row>
    <row r="33" customFormat="false" ht="12.75" hidden="false" customHeight="false" outlineLevel="0" collapsed="false">
      <c r="A33" s="1" t="s">
        <v>19</v>
      </c>
      <c r="C33" s="2" t="s">
        <v>1</v>
      </c>
      <c r="D33" s="2" t="s">
        <v>2</v>
      </c>
      <c r="E33" s="2" t="s">
        <v>3</v>
      </c>
      <c r="F33" s="3" t="s">
        <v>4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9</v>
      </c>
      <c r="L33" s="3" t="s">
        <v>10</v>
      </c>
    </row>
    <row r="34" customFormat="false" ht="12.75" hidden="false" customHeight="false" outlineLevel="0" collapsed="false">
      <c r="A34" s="0" t="s">
        <v>20</v>
      </c>
      <c r="C34" s="1" t="n">
        <f aca="false">MIN(F34:L34)</f>
        <v>0</v>
      </c>
      <c r="D34" s="1" t="n">
        <f aca="false">MAX(F34:L34)</f>
        <v>0</v>
      </c>
      <c r="E34" s="4" t="e">
        <f aca="false">AVERAGE(F34:L34)</f>
        <v>#DIV/0!</v>
      </c>
    </row>
    <row r="35" customFormat="false" ht="12.75" hidden="false" customHeight="false" outlineLevel="0" collapsed="false">
      <c r="A35" s="0" t="s">
        <v>21</v>
      </c>
      <c r="C35" s="1" t="n">
        <f aca="false">MIN(F35:L35)</f>
        <v>0</v>
      </c>
      <c r="D35" s="1" t="n">
        <f aca="false">MAX(F35:L35)</f>
        <v>0</v>
      </c>
      <c r="E35" s="4" t="e">
        <f aca="false">AVERAGE(F35:L35)</f>
        <v>#DIV/0!</v>
      </c>
    </row>
    <row r="36" customFormat="false" ht="12.75" hidden="false" customHeight="false" outlineLevel="0" collapsed="false">
      <c r="A36" s="0" t="s">
        <v>22</v>
      </c>
      <c r="C36" s="1" t="n">
        <f aca="false">MIN(F36:L36)</f>
        <v>0</v>
      </c>
      <c r="D36" s="1" t="n">
        <f aca="false">MAX(F36:L36)</f>
        <v>0</v>
      </c>
      <c r="E36" s="4" t="e">
        <f aca="false">AVERAGE(F36:L36)</f>
        <v>#DIV/0!</v>
      </c>
    </row>
    <row r="37" customFormat="false" ht="12.75" hidden="false" customHeight="false" outlineLevel="0" collapsed="false">
      <c r="A37" s="0" t="s">
        <v>23</v>
      </c>
      <c r="C37" s="1" t="n">
        <f aca="false">MIN(F37:L37)</f>
        <v>0</v>
      </c>
      <c r="D37" s="1" t="n">
        <f aca="false">MAX(F37:L37)</f>
        <v>0</v>
      </c>
      <c r="E37" s="4" t="e">
        <f aca="false">AVERAGE(F37:L37)</f>
        <v>#DIV/0!</v>
      </c>
    </row>
    <row r="38" customFormat="false" ht="12.75" hidden="false" customHeight="false" outlineLevel="0" collapsed="false">
      <c r="A38" s="0" t="s">
        <v>24</v>
      </c>
      <c r="C38" s="1" t="n">
        <f aca="false">MIN(F38:L38)</f>
        <v>0</v>
      </c>
      <c r="D38" s="1" t="n">
        <f aca="false">MAX(F38:L38)</f>
        <v>0</v>
      </c>
      <c r="E38" s="4" t="e">
        <f aca="false">AVERAGE(F38:L38)</f>
        <v>#DIV/0!</v>
      </c>
    </row>
    <row r="39" customFormat="false" ht="12.75" hidden="false" customHeight="false" outlineLevel="0" collapsed="false">
      <c r="A39" s="0" t="s">
        <v>25</v>
      </c>
      <c r="C39" s="1" t="n">
        <f aca="false">MIN(F39:L39)</f>
        <v>0</v>
      </c>
      <c r="D39" s="1" t="n">
        <f aca="false">MAX(F39:L39)</f>
        <v>0</v>
      </c>
      <c r="E39" s="4" t="e">
        <f aca="false">AVERAGE(F39:L39)</f>
        <v>#DIV/0!</v>
      </c>
    </row>
    <row r="40" customFormat="false" ht="12.75" hidden="false" customHeight="false" outlineLevel="0" collapsed="false">
      <c r="A40" s="0" t="s">
        <v>26</v>
      </c>
      <c r="C40" s="1" t="n">
        <f aca="false">MIN(F40:L40)</f>
        <v>0</v>
      </c>
      <c r="D40" s="1" t="n">
        <f aca="false">MAX(F40:L40)</f>
        <v>0</v>
      </c>
      <c r="E40" s="4" t="e">
        <f aca="false">AVERAGE(F40:L40)</f>
        <v>#DIV/0!</v>
      </c>
    </row>
    <row r="41" customFormat="false" ht="12.75" hidden="false" customHeight="false" outlineLevel="0" collapsed="false">
      <c r="A41" s="0" t="s">
        <v>27</v>
      </c>
      <c r="C41" s="1" t="n">
        <f aca="false">MIN(F41:L41)</f>
        <v>0</v>
      </c>
      <c r="D41" s="1" t="n">
        <f aca="false">MAX(F41:L41)</f>
        <v>0</v>
      </c>
      <c r="E41" s="4" t="e">
        <f aca="false">AVERAGE(F41:L41)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11.515625" defaultRowHeight="12.75" zeroHeight="false" outlineLevelRow="0" outlineLevelCol="0"/>
  <cols>
    <col collapsed="false" customWidth="true" hidden="false" outlineLevel="0" max="1" min="1" style="0" width="18"/>
  </cols>
  <sheetData>
    <row r="1" customFormat="false" ht="12.75" hidden="false" customHeight="false" outlineLevel="0" collapsed="false">
      <c r="A1" s="1" t="s">
        <v>0</v>
      </c>
      <c r="B1" s="1"/>
      <c r="C1" s="2" t="s">
        <v>3</v>
      </c>
      <c r="D1" s="2" t="s">
        <v>1</v>
      </c>
      <c r="E1" s="2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customFormat="false" ht="12.75" hidden="false" customHeight="false" outlineLevel="0" collapsed="false">
      <c r="A2" s="0" t="s">
        <v>11</v>
      </c>
      <c r="C2" s="4" t="n">
        <f aca="false">AVERAGE(F2:L2)</f>
        <v>2018.57142857143</v>
      </c>
      <c r="D2" s="1" t="n">
        <f aca="false">MIN(F2:L2)</f>
        <v>1763</v>
      </c>
      <c r="E2" s="1" t="n">
        <f aca="false">MAX(F2:L2)</f>
        <v>2293</v>
      </c>
      <c r="F2" s="0" t="n">
        <v>1837</v>
      </c>
      <c r="G2" s="0" t="n">
        <v>2293</v>
      </c>
      <c r="H2" s="0" t="n">
        <v>1841</v>
      </c>
      <c r="I2" s="0" t="n">
        <v>2100</v>
      </c>
      <c r="J2" s="0" t="n">
        <v>1763</v>
      </c>
      <c r="K2" s="0" t="n">
        <v>2127</v>
      </c>
      <c r="L2" s="0" t="n">
        <v>2169</v>
      </c>
    </row>
    <row r="3" customFormat="false" ht="12.75" hidden="false" customHeight="false" outlineLevel="0" collapsed="false">
      <c r="A3" s="0" t="s">
        <v>12</v>
      </c>
      <c r="C3" s="4" t="n">
        <f aca="false">AVERAGE(F3:L3)</f>
        <v>3565.14285714286</v>
      </c>
      <c r="D3" s="1" t="n">
        <f aca="false">MIN(F3:L3)</f>
        <v>3087</v>
      </c>
      <c r="E3" s="1" t="n">
        <f aca="false">MAX(F3:L3)</f>
        <v>3999</v>
      </c>
      <c r="F3" s="0" t="n">
        <v>3999</v>
      </c>
      <c r="G3" s="0" t="n">
        <v>3953</v>
      </c>
      <c r="H3" s="0" t="n">
        <v>3125</v>
      </c>
      <c r="I3" s="0" t="n">
        <v>3596</v>
      </c>
      <c r="J3" s="0" t="n">
        <v>3087</v>
      </c>
      <c r="K3" s="0" t="n">
        <v>3520</v>
      </c>
      <c r="L3" s="0" t="n">
        <v>3676</v>
      </c>
    </row>
    <row r="4" customFormat="false" ht="12.75" hidden="false" customHeight="false" outlineLevel="0" collapsed="false">
      <c r="A4" s="0" t="s">
        <v>13</v>
      </c>
      <c r="C4" s="4" t="n">
        <f aca="false">AVERAGE(F4:L4)</f>
        <v>3765.28571428571</v>
      </c>
      <c r="D4" s="1" t="n">
        <f aca="false">MIN(F4:L4)</f>
        <v>3425</v>
      </c>
      <c r="E4" s="1" t="n">
        <f aca="false">MAX(F4:L4)</f>
        <v>4948</v>
      </c>
      <c r="F4" s="0" t="n">
        <v>3701</v>
      </c>
      <c r="G4" s="0" t="n">
        <v>3597</v>
      </c>
      <c r="H4" s="0" t="n">
        <v>3595</v>
      </c>
      <c r="I4" s="0" t="n">
        <v>3558</v>
      </c>
      <c r="J4" s="0" t="n">
        <v>4948</v>
      </c>
      <c r="K4" s="0" t="n">
        <v>3533</v>
      </c>
      <c r="L4" s="0" t="n">
        <v>3425</v>
      </c>
    </row>
    <row r="6" customFormat="false" ht="12.75" hidden="false" customHeight="false" outlineLevel="0" collapsed="false">
      <c r="A6" s="1" t="s">
        <v>14</v>
      </c>
      <c r="B6" s="1"/>
      <c r="C6" s="2" t="s">
        <v>3</v>
      </c>
      <c r="D6" s="2" t="s">
        <v>1</v>
      </c>
      <c r="E6" s="2" t="s">
        <v>2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customFormat="false" ht="12.75" hidden="false" customHeight="false" outlineLevel="0" collapsed="false">
      <c r="A7" s="0" t="s">
        <v>15</v>
      </c>
      <c r="C7" s="4" t="n">
        <f aca="false">AVERAGE(F7:L7)</f>
        <v>1410.28571428571</v>
      </c>
      <c r="D7" s="1" t="n">
        <f aca="false">MIN(F7:L7)</f>
        <v>1180</v>
      </c>
      <c r="E7" s="1" t="n">
        <f aca="false">MAX(F7:L7)</f>
        <v>1571</v>
      </c>
      <c r="F7" s="0" t="n">
        <v>1180</v>
      </c>
      <c r="G7" s="0" t="n">
        <v>1324</v>
      </c>
      <c r="H7" s="0" t="n">
        <v>1499</v>
      </c>
      <c r="I7" s="0" t="n">
        <v>1434</v>
      </c>
      <c r="J7" s="0" t="n">
        <v>1434</v>
      </c>
      <c r="K7" s="0" t="n">
        <v>1430</v>
      </c>
      <c r="L7" s="0" t="n">
        <v>1571</v>
      </c>
    </row>
    <row r="8" customFormat="false" ht="12.75" hidden="false" customHeight="false" outlineLevel="0" collapsed="false">
      <c r="A8" s="0" t="s">
        <v>16</v>
      </c>
      <c r="C8" s="4" t="n">
        <f aca="false">AVERAGE(F8:L8)</f>
        <v>674.428571428571</v>
      </c>
      <c r="D8" s="1" t="n">
        <f aca="false">MIN(F8:L8)</f>
        <v>622</v>
      </c>
      <c r="E8" s="1" t="n">
        <f aca="false">MAX(F8:L8)</f>
        <v>716</v>
      </c>
      <c r="F8" s="0" t="n">
        <v>635</v>
      </c>
      <c r="G8" s="0" t="n">
        <v>687</v>
      </c>
      <c r="H8" s="0" t="n">
        <v>686</v>
      </c>
      <c r="I8" s="0" t="n">
        <v>622</v>
      </c>
      <c r="J8" s="0" t="n">
        <v>703</v>
      </c>
      <c r="K8" s="0" t="n">
        <v>672</v>
      </c>
      <c r="L8" s="0" t="n">
        <v>716</v>
      </c>
    </row>
    <row r="9" customFormat="false" ht="12.75" hidden="false" customHeight="false" outlineLevel="0" collapsed="false">
      <c r="A9" s="0" t="s">
        <v>17</v>
      </c>
      <c r="C9" s="4" t="n">
        <f aca="false">AVERAGE(F9:L9)</f>
        <v>176.428571428571</v>
      </c>
      <c r="D9" s="1" t="n">
        <f aca="false">MIN(F9:L9)</f>
        <v>170</v>
      </c>
      <c r="E9" s="1" t="n">
        <f aca="false">MAX(F9:L9)</f>
        <v>190</v>
      </c>
      <c r="F9" s="0" t="n">
        <v>170</v>
      </c>
      <c r="G9" s="0" t="n">
        <v>179</v>
      </c>
      <c r="H9" s="0" t="n">
        <v>172</v>
      </c>
      <c r="I9" s="0" t="n">
        <v>190</v>
      </c>
      <c r="J9" s="0" t="n">
        <v>177</v>
      </c>
      <c r="K9" s="0" t="n">
        <v>172</v>
      </c>
      <c r="L9" s="0" t="n">
        <v>175</v>
      </c>
    </row>
    <row r="11" customFormat="false" ht="12.75" hidden="false" customHeight="false" outlineLevel="0" collapsed="false">
      <c r="A11" s="1" t="s">
        <v>18</v>
      </c>
      <c r="B11" s="1"/>
      <c r="C11" s="2" t="s">
        <v>3</v>
      </c>
      <c r="D11" s="2" t="s">
        <v>1</v>
      </c>
      <c r="E11" s="2" t="s">
        <v>2</v>
      </c>
      <c r="F11" s="3" t="s">
        <v>4</v>
      </c>
      <c r="G11" s="3" t="s">
        <v>5</v>
      </c>
      <c r="H11" s="3" t="s">
        <v>6</v>
      </c>
      <c r="I11" s="3" t="s">
        <v>7</v>
      </c>
      <c r="J11" s="3" t="s">
        <v>8</v>
      </c>
      <c r="K11" s="3" t="s">
        <v>9</v>
      </c>
      <c r="L11" s="3" t="s">
        <v>10</v>
      </c>
      <c r="N11" s="2" t="s">
        <v>28</v>
      </c>
    </row>
    <row r="12" customFormat="false" ht="12.75" hidden="false" customHeight="false" outlineLevel="0" collapsed="false">
      <c r="A12" s="0" t="s">
        <v>11</v>
      </c>
      <c r="B12" s="0" t="s">
        <v>15</v>
      </c>
      <c r="C12" s="4" t="n">
        <f aca="false">AVERAGE(F12:L12)</f>
        <v>1916.57142857143</v>
      </c>
      <c r="D12" s="1" t="n">
        <f aca="false">MIN(F12:L12)</f>
        <v>1727</v>
      </c>
      <c r="E12" s="1" t="n">
        <f aca="false">MAX(F12:L12)</f>
        <v>2147</v>
      </c>
      <c r="F12" s="0" t="n">
        <v>1937</v>
      </c>
      <c r="G12" s="0" t="n">
        <v>1779</v>
      </c>
      <c r="H12" s="0" t="n">
        <v>1973</v>
      </c>
      <c r="I12" s="0" t="n">
        <v>1968</v>
      </c>
      <c r="J12" s="0" t="n">
        <v>2147</v>
      </c>
      <c r="K12" s="0" t="n">
        <v>1727</v>
      </c>
      <c r="L12" s="0" t="n">
        <v>1885</v>
      </c>
      <c r="N12" s="5" t="n">
        <f aca="false">1-C12/C2</f>
        <v>0.0505307855626327</v>
      </c>
    </row>
    <row r="13" customFormat="false" ht="12.75" hidden="false" customHeight="false" outlineLevel="0" collapsed="false">
      <c r="A13" s="0" t="s">
        <v>12</v>
      </c>
      <c r="B13" s="0" t="s">
        <v>15</v>
      </c>
      <c r="C13" s="4" t="n">
        <f aca="false">AVERAGE(F13:L13)</f>
        <v>2936</v>
      </c>
      <c r="D13" s="1" t="n">
        <f aca="false">MIN(F13:L13)</f>
        <v>2222</v>
      </c>
      <c r="E13" s="1" t="n">
        <f aca="false">MAX(F13:L13)</f>
        <v>3557</v>
      </c>
      <c r="F13" s="0" t="n">
        <v>2233</v>
      </c>
      <c r="G13" s="0" t="n">
        <v>3424</v>
      </c>
      <c r="H13" s="0" t="n">
        <v>3448</v>
      </c>
      <c r="I13" s="0" t="n">
        <v>3390</v>
      </c>
      <c r="J13" s="0" t="n">
        <v>2278</v>
      </c>
      <c r="K13" s="0" t="n">
        <v>3557</v>
      </c>
      <c r="L13" s="0" t="n">
        <v>2222</v>
      </c>
      <c r="N13" s="5" t="n">
        <f aca="false">1-C13/C3</f>
        <v>0.176470588235294</v>
      </c>
    </row>
    <row r="14" customFormat="false" ht="12.75" hidden="false" customHeight="false" outlineLevel="0" collapsed="false">
      <c r="A14" s="0" t="s">
        <v>13</v>
      </c>
      <c r="B14" s="0" t="s">
        <v>15</v>
      </c>
      <c r="C14" s="4" t="n">
        <f aca="false">AVERAGE(F14:L14)</f>
        <v>2743</v>
      </c>
      <c r="D14" s="1" t="n">
        <f aca="false">MIN(F14:L14)</f>
        <v>2519</v>
      </c>
      <c r="E14" s="1" t="n">
        <f aca="false">MAX(F14:L14)</f>
        <v>3437</v>
      </c>
      <c r="F14" s="0" t="n">
        <v>2630</v>
      </c>
      <c r="G14" s="0" t="n">
        <v>2950</v>
      </c>
      <c r="H14" s="0" t="n">
        <v>3437</v>
      </c>
      <c r="I14" s="0" t="n">
        <v>2544</v>
      </c>
      <c r="J14" s="0" t="n">
        <v>2525</v>
      </c>
      <c r="K14" s="0" t="n">
        <v>2596</v>
      </c>
      <c r="L14" s="0" t="n">
        <v>2519</v>
      </c>
      <c r="N14" s="5" t="n">
        <f aca="false">1-C14/C4</f>
        <v>0.271502826573586</v>
      </c>
    </row>
    <row r="15" customFormat="false" ht="12.75" hidden="false" customHeight="false" outlineLevel="0" collapsed="false">
      <c r="A15" s="0" t="s">
        <v>11</v>
      </c>
      <c r="B15" s="0" t="s">
        <v>16</v>
      </c>
      <c r="C15" s="4" t="n">
        <f aca="false">AVERAGE(F15:L15)</f>
        <v>1281.28571428571</v>
      </c>
      <c r="D15" s="1" t="n">
        <f aca="false">MIN(F15:L15)</f>
        <v>1166</v>
      </c>
      <c r="E15" s="1" t="n">
        <f aca="false">MAX(F15:L15)</f>
        <v>1403</v>
      </c>
      <c r="F15" s="0" t="n">
        <v>1276</v>
      </c>
      <c r="G15" s="0" t="n">
        <v>1403</v>
      </c>
      <c r="H15" s="0" t="n">
        <v>1357</v>
      </c>
      <c r="I15" s="0" t="n">
        <v>1269</v>
      </c>
      <c r="J15" s="0" t="n">
        <v>1261</v>
      </c>
      <c r="K15" s="0" t="n">
        <v>1166</v>
      </c>
      <c r="L15" s="0" t="n">
        <v>1237</v>
      </c>
      <c r="N15" s="5" t="n">
        <f aca="false">1-C15/C2</f>
        <v>0.365251238499646</v>
      </c>
    </row>
    <row r="16" customFormat="false" ht="12.75" hidden="false" customHeight="false" outlineLevel="0" collapsed="false">
      <c r="A16" s="0" t="s">
        <v>12</v>
      </c>
      <c r="B16" s="0" t="s">
        <v>16</v>
      </c>
      <c r="C16" s="4" t="n">
        <f aca="false">AVERAGE(F16:L16)</f>
        <v>1820.14285714286</v>
      </c>
      <c r="D16" s="1" t="n">
        <f aca="false">MIN(F16:L16)</f>
        <v>1449</v>
      </c>
      <c r="E16" s="1" t="n">
        <f aca="false">MAX(F16:L16)</f>
        <v>2179</v>
      </c>
      <c r="F16" s="0" t="n">
        <v>1577</v>
      </c>
      <c r="G16" s="0" t="n">
        <v>1828</v>
      </c>
      <c r="H16" s="0" t="n">
        <v>1896</v>
      </c>
      <c r="I16" s="0" t="n">
        <v>1808</v>
      </c>
      <c r="J16" s="0" t="n">
        <v>1449</v>
      </c>
      <c r="K16" s="0" t="n">
        <v>2004</v>
      </c>
      <c r="L16" s="0" t="n">
        <v>2179</v>
      </c>
      <c r="N16" s="5" t="n">
        <f aca="false">1-C16/C3</f>
        <v>0.489461452155794</v>
      </c>
    </row>
    <row r="17" customFormat="false" ht="12.75" hidden="false" customHeight="false" outlineLevel="0" collapsed="false">
      <c r="A17" s="0" t="s">
        <v>13</v>
      </c>
      <c r="B17" s="0" t="s">
        <v>16</v>
      </c>
      <c r="C17" s="4" t="n">
        <f aca="false">AVERAGE(F17:L17)</f>
        <v>2332.42857142857</v>
      </c>
      <c r="D17" s="1" t="n">
        <f aca="false">MIN(F17:L17)</f>
        <v>1964</v>
      </c>
      <c r="E17" s="1" t="n">
        <f aca="false">MAX(F17:L17)</f>
        <v>3143</v>
      </c>
      <c r="F17" s="0" t="n">
        <v>1964</v>
      </c>
      <c r="G17" s="0" t="n">
        <v>2053</v>
      </c>
      <c r="H17" s="0" t="n">
        <v>2538</v>
      </c>
      <c r="I17" s="0" t="n">
        <v>1999</v>
      </c>
      <c r="J17" s="0" t="n">
        <v>2021</v>
      </c>
      <c r="K17" s="0" t="n">
        <v>3143</v>
      </c>
      <c r="L17" s="0" t="n">
        <v>2609</v>
      </c>
      <c r="N17" s="5" t="n">
        <f aca="false">1-C17/C4</f>
        <v>0.380544067989528</v>
      </c>
    </row>
    <row r="18" customFormat="false" ht="12.75" hidden="false" customHeight="false" outlineLevel="0" collapsed="false">
      <c r="A18" s="0" t="s">
        <v>11</v>
      </c>
      <c r="B18" s="0" t="s">
        <v>17</v>
      </c>
      <c r="C18" s="4" t="n">
        <f aca="false">AVERAGE(F18:L18)</f>
        <v>844.428571428571</v>
      </c>
      <c r="D18" s="1" t="n">
        <f aca="false">MIN(F18:L18)</f>
        <v>622</v>
      </c>
      <c r="E18" s="1" t="n">
        <f aca="false">MAX(F18:L18)</f>
        <v>926</v>
      </c>
      <c r="F18" s="0" t="n">
        <v>622</v>
      </c>
      <c r="G18" s="0" t="n">
        <v>863</v>
      </c>
      <c r="H18" s="0" t="n">
        <v>881</v>
      </c>
      <c r="I18" s="0" t="n">
        <v>887</v>
      </c>
      <c r="J18" s="0" t="n">
        <v>864</v>
      </c>
      <c r="K18" s="0" t="n">
        <v>868</v>
      </c>
      <c r="L18" s="0" t="n">
        <v>926</v>
      </c>
      <c r="N18" s="5" t="n">
        <f aca="false">1-C18/C2</f>
        <v>0.581670205237084</v>
      </c>
    </row>
    <row r="19" customFormat="false" ht="12.75" hidden="false" customHeight="false" outlineLevel="0" collapsed="false">
      <c r="A19" s="0" t="s">
        <v>12</v>
      </c>
      <c r="B19" s="0" t="s">
        <v>17</v>
      </c>
      <c r="C19" s="4" t="n">
        <f aca="false">AVERAGE(F19:L19)</f>
        <v>1308.57142857143</v>
      </c>
      <c r="D19" s="1" t="n">
        <f aca="false">MIN(F19:L19)</f>
        <v>1193</v>
      </c>
      <c r="E19" s="1" t="n">
        <f aca="false">MAX(F19:L19)</f>
        <v>1567</v>
      </c>
      <c r="F19" s="0" t="n">
        <v>1315</v>
      </c>
      <c r="G19" s="0" t="n">
        <v>1331</v>
      </c>
      <c r="H19" s="0" t="n">
        <v>1303</v>
      </c>
      <c r="I19" s="0" t="n">
        <v>1224</v>
      </c>
      <c r="J19" s="0" t="n">
        <v>1193</v>
      </c>
      <c r="K19" s="0" t="n">
        <v>1227</v>
      </c>
      <c r="L19" s="0" t="n">
        <v>1567</v>
      </c>
      <c r="N19" s="5" t="n">
        <f aca="false">1-C19/C3</f>
        <v>0.632953999038307</v>
      </c>
    </row>
    <row r="20" customFormat="false" ht="12.75" hidden="false" customHeight="false" outlineLevel="0" collapsed="false">
      <c r="A20" s="0" t="s">
        <v>13</v>
      </c>
      <c r="B20" s="0" t="s">
        <v>17</v>
      </c>
      <c r="C20" s="4" t="n">
        <f aca="false">AVERAGE(F20:L20)</f>
        <v>1638.42857142857</v>
      </c>
      <c r="D20" s="1" t="n">
        <f aca="false">MIN(F20:L20)</f>
        <v>1490</v>
      </c>
      <c r="E20" s="1" t="n">
        <f aca="false">MAX(F20:L20)</f>
        <v>1872</v>
      </c>
      <c r="F20" s="0" t="n">
        <v>1709</v>
      </c>
      <c r="G20" s="0" t="n">
        <v>1755</v>
      </c>
      <c r="H20" s="0" t="n">
        <v>1490</v>
      </c>
      <c r="I20" s="0" t="n">
        <v>1534</v>
      </c>
      <c r="J20" s="0" t="n">
        <v>1603</v>
      </c>
      <c r="K20" s="0" t="n">
        <v>1506</v>
      </c>
      <c r="L20" s="0" t="n">
        <v>1872</v>
      </c>
      <c r="N20" s="5" t="n">
        <f aca="false">1-C20/C4</f>
        <v>0.564859430132413</v>
      </c>
    </row>
    <row r="22" customFormat="false" ht="12.75" hidden="false" customHeight="false" outlineLevel="0" collapsed="false">
      <c r="A22" s="1" t="s">
        <v>18</v>
      </c>
      <c r="B22" s="1"/>
      <c r="C22" s="2" t="s">
        <v>3</v>
      </c>
      <c r="D22" s="2" t="s">
        <v>1</v>
      </c>
      <c r="E22" s="2" t="s">
        <v>2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  <c r="N22" s="2" t="s">
        <v>28</v>
      </c>
    </row>
    <row r="23" customFormat="false" ht="12.75" hidden="false" customHeight="false" outlineLevel="0" collapsed="false">
      <c r="A23" s="0" t="s">
        <v>15</v>
      </c>
      <c r="B23" s="0" t="s">
        <v>11</v>
      </c>
      <c r="C23" s="4" t="n">
        <f aca="false">AVERAGE(F23:L23)</f>
        <v>1239.85714285714</v>
      </c>
      <c r="D23" s="1" t="n">
        <f aca="false">MIN(F23:L23)</f>
        <v>1138</v>
      </c>
      <c r="E23" s="1" t="n">
        <f aca="false">MAX(F23:L23)</f>
        <v>1353</v>
      </c>
      <c r="F23" s="0" t="n">
        <v>1138</v>
      </c>
      <c r="G23" s="0" t="n">
        <v>1157</v>
      </c>
      <c r="H23" s="0" t="n">
        <v>1335</v>
      </c>
      <c r="I23" s="0" t="n">
        <v>1280</v>
      </c>
      <c r="J23" s="0" t="n">
        <v>1353</v>
      </c>
      <c r="K23" s="0" t="n">
        <v>1216</v>
      </c>
      <c r="L23" s="0" t="n">
        <v>1200</v>
      </c>
      <c r="N23" s="5" t="n">
        <f aca="false">1-C23/C7</f>
        <v>0.120846839546191</v>
      </c>
    </row>
    <row r="24" customFormat="false" ht="12.75" hidden="false" customHeight="false" outlineLevel="0" collapsed="false">
      <c r="A24" s="0" t="s">
        <v>16</v>
      </c>
      <c r="B24" s="0" t="s">
        <v>11</v>
      </c>
      <c r="C24" s="4" t="n">
        <f aca="false">AVERAGE(F24:L24)</f>
        <v>596.857142857143</v>
      </c>
      <c r="D24" s="1" t="n">
        <f aca="false">MIN(F24:L24)</f>
        <v>564</v>
      </c>
      <c r="E24" s="1" t="n">
        <f aca="false">MAX(F24:L24)</f>
        <v>645</v>
      </c>
      <c r="F24" s="0" t="n">
        <v>579</v>
      </c>
      <c r="G24" s="0" t="n">
        <v>619</v>
      </c>
      <c r="H24" s="0" t="n">
        <v>564</v>
      </c>
      <c r="I24" s="0" t="n">
        <v>645</v>
      </c>
      <c r="J24" s="0" t="n">
        <v>569</v>
      </c>
      <c r="K24" s="0" t="n">
        <v>577</v>
      </c>
      <c r="L24" s="0" t="n">
        <v>625</v>
      </c>
      <c r="N24" s="5" t="n">
        <f aca="false">1-C24/C8</f>
        <v>0.11501800466003</v>
      </c>
    </row>
    <row r="25" customFormat="false" ht="12.75" hidden="false" customHeight="false" outlineLevel="0" collapsed="false">
      <c r="A25" s="0" t="s">
        <v>17</v>
      </c>
      <c r="B25" s="0" t="s">
        <v>11</v>
      </c>
      <c r="C25" s="4" t="n">
        <f aca="false">AVERAGE(F25:L25)</f>
        <v>186.142857142857</v>
      </c>
      <c r="D25" s="1" t="n">
        <f aca="false">MIN(F25:L25)</f>
        <v>171</v>
      </c>
      <c r="E25" s="1" t="n">
        <f aca="false">MAX(F25:L25)</f>
        <v>193</v>
      </c>
      <c r="F25" s="0" t="n">
        <v>171</v>
      </c>
      <c r="G25" s="0" t="n">
        <v>188</v>
      </c>
      <c r="H25" s="0" t="n">
        <v>187</v>
      </c>
      <c r="I25" s="0" t="n">
        <v>192</v>
      </c>
      <c r="J25" s="0" t="n">
        <v>193</v>
      </c>
      <c r="K25" s="0" t="n">
        <v>184</v>
      </c>
      <c r="L25" s="0" t="n">
        <v>188</v>
      </c>
      <c r="N25" s="5" t="n">
        <f aca="false">1-C25/C9</f>
        <v>-0.0550607287449394</v>
      </c>
    </row>
    <row r="26" customFormat="false" ht="12.75" hidden="false" customHeight="false" outlineLevel="0" collapsed="false">
      <c r="A26" s="0" t="s">
        <v>15</v>
      </c>
      <c r="B26" s="0" t="s">
        <v>12</v>
      </c>
      <c r="C26" s="4" t="n">
        <f aca="false">AVERAGE(F26:L26)</f>
        <v>1172</v>
      </c>
      <c r="D26" s="1" t="n">
        <f aca="false">MIN(F26:L26)</f>
        <v>1009</v>
      </c>
      <c r="E26" s="1" t="n">
        <f aca="false">MAX(F26:L26)</f>
        <v>1293</v>
      </c>
      <c r="F26" s="0" t="n">
        <v>1009</v>
      </c>
      <c r="G26" s="0" t="n">
        <v>1242</v>
      </c>
      <c r="H26" s="0" t="n">
        <v>1293</v>
      </c>
      <c r="I26" s="0" t="n">
        <v>1285</v>
      </c>
      <c r="J26" s="0" t="n">
        <v>1122</v>
      </c>
      <c r="K26" s="0" t="n">
        <v>1214</v>
      </c>
      <c r="L26" s="0" t="n">
        <v>1039</v>
      </c>
      <c r="N26" s="5" t="n">
        <f aca="false">1-C26/C7</f>
        <v>0.168962722852512</v>
      </c>
    </row>
    <row r="27" customFormat="false" ht="12.75" hidden="false" customHeight="false" outlineLevel="0" collapsed="false">
      <c r="A27" s="0" t="s">
        <v>16</v>
      </c>
      <c r="B27" s="0" t="s">
        <v>12</v>
      </c>
      <c r="C27" s="4" t="n">
        <f aca="false">AVERAGE(F27:L27)</f>
        <v>606.142857142857</v>
      </c>
      <c r="D27" s="1" t="n">
        <f aca="false">MIN(F27:L27)</f>
        <v>563</v>
      </c>
      <c r="E27" s="1" t="n">
        <f aca="false">MAX(F27:L27)</f>
        <v>626</v>
      </c>
      <c r="F27" s="0" t="n">
        <v>626</v>
      </c>
      <c r="G27" s="0" t="n">
        <v>591</v>
      </c>
      <c r="H27" s="0" t="n">
        <v>620</v>
      </c>
      <c r="I27" s="0" t="n">
        <v>607</v>
      </c>
      <c r="J27" s="0" t="n">
        <v>563</v>
      </c>
      <c r="K27" s="0" t="n">
        <v>616</v>
      </c>
      <c r="L27" s="0" t="n">
        <v>620</v>
      </c>
      <c r="N27" s="5" t="n">
        <f aca="false">1-C27/C8</f>
        <v>0.101249735225588</v>
      </c>
    </row>
    <row r="28" customFormat="false" ht="12.75" hidden="false" customHeight="false" outlineLevel="0" collapsed="false">
      <c r="A28" s="0" t="s">
        <v>17</v>
      </c>
      <c r="B28" s="0" t="s">
        <v>12</v>
      </c>
      <c r="C28" s="4" t="n">
        <f aca="false">AVERAGE(F28:L28)</f>
        <v>170</v>
      </c>
      <c r="D28" s="1" t="n">
        <f aca="false">MIN(F28:L28)</f>
        <v>161</v>
      </c>
      <c r="E28" s="1" t="n">
        <f aca="false">MAX(F28:L28)</f>
        <v>186</v>
      </c>
      <c r="F28" s="0" t="n">
        <v>161</v>
      </c>
      <c r="G28" s="0" t="n">
        <v>167</v>
      </c>
      <c r="H28" s="0" t="n">
        <v>164</v>
      </c>
      <c r="I28" s="0" t="n">
        <v>169</v>
      </c>
      <c r="J28" s="0" t="n">
        <v>168</v>
      </c>
      <c r="K28" s="0" t="n">
        <v>186</v>
      </c>
      <c r="L28" s="0" t="n">
        <v>175</v>
      </c>
      <c r="N28" s="5" t="n">
        <f aca="false">1-C28/C9</f>
        <v>0.0364372469635627</v>
      </c>
    </row>
    <row r="29" customFormat="false" ht="12.75" hidden="false" customHeight="false" outlineLevel="0" collapsed="false">
      <c r="A29" s="0" t="s">
        <v>15</v>
      </c>
      <c r="B29" s="0" t="s">
        <v>13</v>
      </c>
      <c r="C29" s="4" t="n">
        <f aca="false">AVERAGE(F29:L29)</f>
        <v>1054.71428571429</v>
      </c>
      <c r="D29" s="1" t="n">
        <f aca="false">MIN(F29:L29)</f>
        <v>982</v>
      </c>
      <c r="E29" s="1" t="n">
        <f aca="false">MAX(F29:L29)</f>
        <v>1157</v>
      </c>
      <c r="F29" s="0" t="n">
        <v>1017</v>
      </c>
      <c r="G29" s="0" t="n">
        <v>1095</v>
      </c>
      <c r="H29" s="0" t="n">
        <v>1157</v>
      </c>
      <c r="I29" s="0" t="n">
        <v>1103</v>
      </c>
      <c r="J29" s="0" t="n">
        <v>1029</v>
      </c>
      <c r="K29" s="0" t="n">
        <v>982</v>
      </c>
      <c r="L29" s="0" t="n">
        <v>1000</v>
      </c>
      <c r="N29" s="5" t="n">
        <f aca="false">1-C29/C7</f>
        <v>0.252127228525121</v>
      </c>
    </row>
    <row r="30" customFormat="false" ht="12.75" hidden="false" customHeight="false" outlineLevel="0" collapsed="false">
      <c r="A30" s="0" t="s">
        <v>16</v>
      </c>
      <c r="B30" s="0" t="s">
        <v>13</v>
      </c>
      <c r="C30" s="4" t="n">
        <f aca="false">AVERAGE(F30:L30)</f>
        <v>593.857142857143</v>
      </c>
      <c r="D30" s="1" t="n">
        <f aca="false">MIN(F30:L30)</f>
        <v>549</v>
      </c>
      <c r="E30" s="1" t="n">
        <f aca="false">MAX(F30:L30)</f>
        <v>634</v>
      </c>
      <c r="F30" s="0" t="n">
        <v>590</v>
      </c>
      <c r="G30" s="0" t="n">
        <v>549</v>
      </c>
      <c r="H30" s="0" t="n">
        <v>634</v>
      </c>
      <c r="I30" s="0" t="n">
        <v>583</v>
      </c>
      <c r="J30" s="0" t="n">
        <v>578</v>
      </c>
      <c r="K30" s="0" t="n">
        <v>609</v>
      </c>
      <c r="L30" s="0" t="n">
        <v>614</v>
      </c>
      <c r="N30" s="5" t="n">
        <f aca="false">1-C30/C8</f>
        <v>0.119466214785003</v>
      </c>
    </row>
    <row r="31" customFormat="false" ht="12.75" hidden="false" customHeight="false" outlineLevel="0" collapsed="false">
      <c r="A31" s="0" t="s">
        <v>17</v>
      </c>
      <c r="B31" s="0" t="s">
        <v>13</v>
      </c>
      <c r="C31" s="4" t="n">
        <f aca="false">AVERAGE(F31:L31)</f>
        <v>164.428571428571</v>
      </c>
      <c r="D31" s="1" t="n">
        <f aca="false">MIN(F31:L31)</f>
        <v>153</v>
      </c>
      <c r="E31" s="1" t="n">
        <f aca="false">MAX(F31:L31)</f>
        <v>172</v>
      </c>
      <c r="F31" s="0" t="n">
        <v>172</v>
      </c>
      <c r="G31" s="0" t="n">
        <v>171</v>
      </c>
      <c r="H31" s="0" t="n">
        <v>164</v>
      </c>
      <c r="I31" s="0" t="n">
        <v>160</v>
      </c>
      <c r="J31" s="0" t="n">
        <v>153</v>
      </c>
      <c r="K31" s="0" t="n">
        <v>165</v>
      </c>
      <c r="L31" s="0" t="n">
        <v>166</v>
      </c>
      <c r="N31" s="5" t="n">
        <f aca="false">1-C31/C9</f>
        <v>0.0680161943319838</v>
      </c>
    </row>
    <row r="33" customFormat="false" ht="12.75" hidden="false" customHeight="false" outlineLevel="0" collapsed="false">
      <c r="A33" s="1" t="s">
        <v>19</v>
      </c>
      <c r="C33" s="2" t="s">
        <v>3</v>
      </c>
      <c r="D33" s="2" t="s">
        <v>1</v>
      </c>
      <c r="E33" s="2" t="s">
        <v>2</v>
      </c>
      <c r="F33" s="3" t="s">
        <v>4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9</v>
      </c>
      <c r="L33" s="3" t="s">
        <v>10</v>
      </c>
      <c r="N33" s="2" t="s">
        <v>29</v>
      </c>
    </row>
    <row r="34" customFormat="false" ht="12.75" hidden="false" customHeight="false" outlineLevel="0" collapsed="false">
      <c r="A34" s="0" t="s">
        <v>20</v>
      </c>
      <c r="C34" s="4" t="n">
        <f aca="false">AVERAGE(F34:L34)</f>
        <v>2742.85714285714</v>
      </c>
      <c r="D34" s="1" t="n">
        <f aca="false">MIN(F34:L34)</f>
        <v>2447</v>
      </c>
      <c r="E34" s="1" t="n">
        <f aca="false">MAX(F34:L34)</f>
        <v>2816</v>
      </c>
      <c r="F34" s="0" t="n">
        <v>2447</v>
      </c>
      <c r="G34" s="0" t="n">
        <v>2816</v>
      </c>
      <c r="H34" s="0" t="n">
        <v>2733</v>
      </c>
      <c r="I34" s="0" t="n">
        <v>2794</v>
      </c>
      <c r="J34" s="0" t="n">
        <v>2813</v>
      </c>
      <c r="K34" s="0" t="n">
        <v>2798</v>
      </c>
      <c r="L34" s="0" t="n">
        <v>2799</v>
      </c>
      <c r="N34" s="5" t="n">
        <f aca="false">1-C34/$C$35</f>
        <v>0.366064648198897</v>
      </c>
    </row>
    <row r="35" customFormat="false" ht="12.75" hidden="false" customHeight="false" outlineLevel="0" collapsed="false">
      <c r="A35" s="0" t="s">
        <v>21</v>
      </c>
      <c r="C35" s="4" t="n">
        <f aca="false">AVERAGE(F35:L35)</f>
        <v>4326.71428571429</v>
      </c>
      <c r="D35" s="1" t="n">
        <f aca="false">MIN(F35:L35)</f>
        <v>4247</v>
      </c>
      <c r="E35" s="1" t="n">
        <f aca="false">MAX(F35:L35)</f>
        <v>4372</v>
      </c>
      <c r="F35" s="0" t="n">
        <v>4300</v>
      </c>
      <c r="G35" s="0" t="n">
        <v>4372</v>
      </c>
      <c r="H35" s="0" t="n">
        <v>4341</v>
      </c>
      <c r="I35" s="0" t="n">
        <v>4370</v>
      </c>
      <c r="J35" s="0" t="n">
        <v>4336</v>
      </c>
      <c r="K35" s="0" t="n">
        <v>4321</v>
      </c>
      <c r="L35" s="0" t="n">
        <v>4247</v>
      </c>
      <c r="N35" s="5"/>
    </row>
    <row r="36" customFormat="false" ht="12.75" hidden="false" customHeight="false" outlineLevel="0" collapsed="false">
      <c r="A36" s="0" t="s">
        <v>22</v>
      </c>
      <c r="C36" s="4" t="n">
        <f aca="false">AVERAGE(F36:L36)</f>
        <v>4269</v>
      </c>
      <c r="D36" s="1" t="n">
        <f aca="false">MIN(F36:L36)</f>
        <v>3975</v>
      </c>
      <c r="E36" s="1" t="n">
        <f aca="false">MAX(F36:L36)</f>
        <v>4355</v>
      </c>
      <c r="F36" s="0" t="n">
        <v>4350</v>
      </c>
      <c r="G36" s="0" t="n">
        <v>4241</v>
      </c>
      <c r="H36" s="0" t="n">
        <v>4311</v>
      </c>
      <c r="I36" s="0" t="n">
        <v>4307</v>
      </c>
      <c r="J36" s="0" t="n">
        <v>4355</v>
      </c>
      <c r="K36" s="0" t="n">
        <v>3975</v>
      </c>
      <c r="L36" s="0" t="n">
        <v>4344</v>
      </c>
      <c r="N36" s="5" t="n">
        <f aca="false">1-C36/$C$35</f>
        <v>0.0133390563608148</v>
      </c>
    </row>
    <row r="37" customFormat="false" ht="12.75" hidden="false" customHeight="false" outlineLevel="0" collapsed="false">
      <c r="A37" s="0" t="s">
        <v>23</v>
      </c>
      <c r="C37" s="4" t="n">
        <f aca="false">AVERAGE(F37:L37)</f>
        <v>4202</v>
      </c>
      <c r="D37" s="1" t="n">
        <f aca="false">MIN(F37:L37)</f>
        <v>4122</v>
      </c>
      <c r="E37" s="1" t="n">
        <f aca="false">MAX(F37:L37)</f>
        <v>4266</v>
      </c>
      <c r="F37" s="0" t="n">
        <v>4249</v>
      </c>
      <c r="G37" s="0" t="n">
        <v>4192</v>
      </c>
      <c r="H37" s="0" t="n">
        <v>4165</v>
      </c>
      <c r="I37" s="0" t="n">
        <v>4190</v>
      </c>
      <c r="J37" s="0" t="n">
        <v>4230</v>
      </c>
      <c r="K37" s="0" t="n">
        <v>4122</v>
      </c>
      <c r="L37" s="0" t="n">
        <v>4266</v>
      </c>
      <c r="N37" s="5" t="n">
        <f aca="false">1-C37/$C$35</f>
        <v>0.0288242480272063</v>
      </c>
    </row>
    <row r="38" customFormat="false" ht="12.75" hidden="false" customHeight="false" outlineLevel="0" collapsed="false">
      <c r="A38" s="0" t="s">
        <v>24</v>
      </c>
      <c r="C38" s="4" t="n">
        <f aca="false">AVERAGE(F38:L38)</f>
        <v>4069.42857142857</v>
      </c>
      <c r="D38" s="1" t="n">
        <f aca="false">MIN(F38:L38)</f>
        <v>3964</v>
      </c>
      <c r="E38" s="1" t="n">
        <f aca="false">MAX(F38:L38)</f>
        <v>4202</v>
      </c>
      <c r="F38" s="0" t="n">
        <v>4146</v>
      </c>
      <c r="G38" s="0" t="n">
        <v>3991</v>
      </c>
      <c r="H38" s="0" t="n">
        <v>4058</v>
      </c>
      <c r="I38" s="0" t="n">
        <v>3964</v>
      </c>
      <c r="J38" s="0" t="n">
        <v>4202</v>
      </c>
      <c r="K38" s="0" t="n">
        <v>4100</v>
      </c>
      <c r="L38" s="0" t="n">
        <v>4025</v>
      </c>
      <c r="N38" s="5" t="n">
        <f aca="false">1-C38/$C$35</f>
        <v>0.0594644566975929</v>
      </c>
    </row>
    <row r="39" customFormat="false" ht="12.75" hidden="false" customHeight="false" outlineLevel="0" collapsed="false">
      <c r="A39" s="0" t="s">
        <v>25</v>
      </c>
      <c r="C39" s="4" t="n">
        <f aca="false">AVERAGE(F39:L39)</f>
        <v>3656.85714285714</v>
      </c>
      <c r="D39" s="1" t="n">
        <f aca="false">MIN(F39:L39)</f>
        <v>3604</v>
      </c>
      <c r="E39" s="1" t="n">
        <f aca="false">MAX(F39:L39)</f>
        <v>3734</v>
      </c>
      <c r="F39" s="0" t="n">
        <v>3734</v>
      </c>
      <c r="G39" s="0" t="n">
        <v>3604</v>
      </c>
      <c r="H39" s="0" t="n">
        <v>3675</v>
      </c>
      <c r="I39" s="0" t="n">
        <v>3610</v>
      </c>
      <c r="J39" s="0" t="n">
        <v>3672</v>
      </c>
      <c r="K39" s="0" t="n">
        <v>3688</v>
      </c>
      <c r="L39" s="0" t="n">
        <v>3615</v>
      </c>
      <c r="N39" s="5" t="n">
        <f aca="false">1-C39/$C$35</f>
        <v>0.154818899197676</v>
      </c>
    </row>
    <row r="40" customFormat="false" ht="12.75" hidden="false" customHeight="false" outlineLevel="0" collapsed="false">
      <c r="A40" s="0" t="s">
        <v>26</v>
      </c>
      <c r="C40" s="4" t="n">
        <f aca="false">AVERAGE(F40:L40)</f>
        <v>3492.85714285714</v>
      </c>
      <c r="D40" s="1" t="n">
        <f aca="false">MIN(F40:L40)</f>
        <v>3333</v>
      </c>
      <c r="E40" s="1" t="n">
        <f aca="false">MAX(F40:L40)</f>
        <v>3613</v>
      </c>
      <c r="F40" s="0" t="n">
        <v>3533</v>
      </c>
      <c r="G40" s="0" t="n">
        <v>3333</v>
      </c>
      <c r="H40" s="0" t="n">
        <v>3479</v>
      </c>
      <c r="I40" s="0" t="n">
        <v>3613</v>
      </c>
      <c r="J40" s="0" t="n">
        <v>3495</v>
      </c>
      <c r="K40" s="0" t="n">
        <v>3539</v>
      </c>
      <c r="L40" s="0" t="n">
        <v>3458</v>
      </c>
      <c r="N40" s="5" t="n">
        <f aca="false">1-C40/$C$35</f>
        <v>0.192722950440783</v>
      </c>
    </row>
    <row r="41" customFormat="false" ht="12.75" hidden="false" customHeight="false" outlineLevel="0" collapsed="false">
      <c r="A41" s="0" t="s">
        <v>27</v>
      </c>
      <c r="C41" s="4" t="n">
        <f aca="false">AVERAGE(F41:L41)</f>
        <v>3296.28571428571</v>
      </c>
      <c r="D41" s="1" t="n">
        <f aca="false">MIN(F41:L41)</f>
        <v>3174</v>
      </c>
      <c r="E41" s="1" t="n">
        <f aca="false">MAX(F41:L41)</f>
        <v>3418</v>
      </c>
      <c r="F41" s="0" t="n">
        <v>3311</v>
      </c>
      <c r="G41" s="0" t="n">
        <v>3216</v>
      </c>
      <c r="H41" s="0" t="n">
        <v>3337</v>
      </c>
      <c r="I41" s="0" t="n">
        <v>3418</v>
      </c>
      <c r="J41" s="0" t="n">
        <v>3174</v>
      </c>
      <c r="K41" s="0" t="n">
        <v>3273</v>
      </c>
      <c r="L41" s="0" t="n">
        <v>3345</v>
      </c>
      <c r="N41" s="5" t="n">
        <f aca="false">1-C41/$C$35</f>
        <v>0.238154983986529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2024-09-23T16:09:47Z</dcterms:created>
  <dc:creator/>
  <dc:description/>
  <dc:language>en-US</dc:language>
  <cp:lastModifiedBy/>
  <dcterms:modified xsi:type="dcterms:W3CDTF">2024-09-26T09:53:59Z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